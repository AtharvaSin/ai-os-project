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 Calendar" sheetId="1" state="visible" r:id="rId3"/>
    <sheet name="Pipeline Dashboard" sheetId="2" state="visible" r:id="rId4"/>
    <sheet name="Schema Reference" sheetId="3" state="visible" r:id="rId5"/>
  </sheets>
  <definedNames>
    <definedName function="false" hidden="true" localSheetId="0" name="_xlnm._FilterDatabase" vbProcedure="false">'Content Calendar'!$A$2:$AA$7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<sst xmlns="http://schemas.openxmlformats.org/spreadsheetml/2006/main" count="239" uniqueCount="166">
  <si>
    <t xml:space="preserve">IDENTITY</t>
  </si>
  <si>
    <t xml:space="preserve">CONTENT</t>
  </si>
  <si>
    <t xml:space="preserve">VISUAL &amp; ASSETS</t>
  </si>
  <si>
    <t xml:space="preserve">CHANNELS &amp; FORMAT</t>
  </si>
  <si>
    <t xml:space="preserve">PIPELINE</t>
  </si>
  <si>
    <t xml:space="preserve">TARGETING &amp; CTA</t>
  </si>
  <si>
    <t xml:space="preserve">POST-PUBLISH METRICS</t>
  </si>
  <si>
    <t xml:space="preserve">POST ID</t>
  </si>
  <si>
    <t xml:space="preserve">CAMPAIGN</t>
  </si>
  <si>
    <t xml:space="preserve">PILLAR</t>
  </si>
  <si>
    <t xml:space="preserve">CLASSIFICATION</t>
  </si>
  <si>
    <t xml:space="preserve">TOPIC</t>
  </si>
  <si>
    <t xml:space="preserve">HOOK</t>
  </si>
  <si>
    <t xml:space="preserve">CAPTION</t>
  </si>
  <si>
    <t xml:space="preserve">LORE REFS</t>
  </si>
  <si>
    <t xml:space="preserve">VISUAL DIRECTION</t>
  </si>
  <si>
    <t xml:space="preserve">PROMPT TEMPLATE</t>
  </si>
  <si>
    <t xml:space="preserve">ASSET IDS</t>
  </si>
  <si>
    <t xml:space="preserve">CHANNELS</t>
  </si>
  <si>
    <t xml:space="preserve">IG FORMAT</t>
  </si>
  <si>
    <t xml:space="preserve">TW FORMAT</t>
  </si>
  <si>
    <t xml:space="preserve">FB FORMAT</t>
  </si>
  <si>
    <t xml:space="preserve">STATUS</t>
  </si>
  <si>
    <t xml:space="preserve">SCHED DATE</t>
  </si>
  <si>
    <t xml:space="preserve">SCHED TIME</t>
  </si>
  <si>
    <t xml:space="preserve">AUDIENCE</t>
  </si>
  <si>
    <t xml:space="preserve">HASHTAGS</t>
  </si>
  <si>
    <t xml:space="preserve">CTA TYPE</t>
  </si>
  <si>
    <t xml:space="preserve">CTA LINK</t>
  </si>
  <si>
    <t xml:space="preserve">PUBLISHED URL</t>
  </si>
  <si>
    <t xml:space="preserve">IMPRESSIONS</t>
  </si>
  <si>
    <t xml:space="preserve">ENGAGEMENT</t>
  </si>
  <si>
    <t xml:space="preserve">CLICKS</t>
  </si>
  <si>
    <t xml:space="preserve">PERF NOTES</t>
  </si>
  <si>
    <t xml:space="preserve">BHV-20260401-001</t>
  </si>
  <si>
    <t xml:space="preserve">phase1-lore-reveals</t>
  </si>
  <si>
    <t xml:space="preserve">world_window</t>
  </si>
  <si>
    <t xml:space="preserve">declassified</t>
  </si>
  <si>
    <t xml:space="preserve">The Mesh — what it sees how it works</t>
  </si>
  <si>
    <t xml:space="preserve">Every breath you take is catalogued. Every step mapped. Welcome to the Mesh.</t>
  </si>
  <si>
    <t xml:space="preserve">Every breath you take is catalogued. Every step mapped. The Mesh doesn't just watch — it remembers. Welcome to Bharatvarsh.</t>
  </si>
  <si>
    <t xml:space="preserve">Bible:Technology:TheMesh</t>
  </si>
  <si>
    <t xml:space="preserve">Dark atmospheric visualization of the Mesh network — blue-white light grids overlaid on a nighttime cityscape, data nodes pulsing, facial recognition frames on pedestrians below</t>
  </si>
  <si>
    <t xml:space="preserve">atmospheric_background</t>
  </si>
  <si>
    <t xml:space="preserve">instagram,twitter,facebook</t>
  </si>
  <si>
    <t xml:space="preserve">feed_post</t>
  </si>
  <si>
    <t xml:space="preserve">single_tweet</t>
  </si>
  <si>
    <t xml:space="preserve">post</t>
  </si>
  <si>
    <t xml:space="preserve">planned</t>
  </si>
  <si>
    <t xml:space="preserve">2026-04-01</t>
  </si>
  <si>
    <t xml:space="preserve">10:00</t>
  </si>
  <si>
    <t xml:space="preserve">A,B</t>
  </si>
  <si>
    <t xml:space="preserve">#Bharatvarsh #TheMesh #DystopianFiction #IndianSciFi #NewNovel</t>
  </si>
  <si>
    <t xml:space="preserve">website</t>
  </si>
  <si>
    <t xml:space="preserve">https://welcometobharatvarsh.com</t>
  </si>
  <si>
    <t xml:space="preserve">BHV-20260403-001</t>
  </si>
  <si>
    <t xml:space="preserve">phase1-character-spotlights</t>
  </si>
  <si>
    <t xml:space="preserve">character_spotlight</t>
  </si>
  <si>
    <t xml:space="preserve">Kahaan — the military prince who sees too much</t>
  </si>
  <si>
    <t xml:space="preserve">He was trained to follow orders. His lens showed him why he shouldn't.</t>
  </si>
  <si>
    <t xml:space="preserve">He was trained to follow orders. His lens showed him why he shouldn't. Meet Kahaan — Bharatsena's most decorated young officer, carrying a secret that could unravel the Directorate.</t>
  </si>
  <si>
    <t xml:space="preserve">Bible:Characters:Kahaan</t>
  </si>
  <si>
    <t xml:space="preserve">Cinematic portrait of Kahaan — close-up, dark command room, floating tactical lens near right eye, navy uniform with gold piping, intense focused expression</t>
  </si>
  <si>
    <t xml:space="preserve">cinematic_portrait</t>
  </si>
  <si>
    <t xml:space="preserve">instagram,twitter</t>
  </si>
  <si>
    <t xml:space="preserve">thread</t>
  </si>
  <si>
    <t xml:space="preserve">2026-04-03</t>
  </si>
  <si>
    <t xml:space="preserve">18:30</t>
  </si>
  <si>
    <t xml:space="preserve">#Bharatvarsh #Kahaan #CharacterReveal #IndianSciFi #MilitaryFiction</t>
  </si>
  <si>
    <t xml:space="preserve">BHV-20260405-001</t>
  </si>
  <si>
    <t xml:space="preserve">the_question</t>
  </si>
  <si>
    <t xml:space="preserve">Children think checkpoints are streetlights</t>
  </si>
  <si>
    <t xml:space="preserve">What if the world you were born into was a lie — and you never thought to question it?</t>
  </si>
  <si>
    <t xml:space="preserve">What if the world you were born into was a lie — and you never thought to question it? In Bharatvarsh, children walk through checkpoints like streetlights. They don't question. Do you?</t>
  </si>
  <si>
    <t xml:space="preserve">Bible:World:Checkpoints,Bible:Themes:NormalizedOppression</t>
  </si>
  <si>
    <t xml:space="preserve">Atmospheric Oxy Pole boulevard scene — children walking through checkpoint, beautiful but unsettling, surveillance cameras embedded in lamp posts, blue-white purification light</t>
  </si>
  <si>
    <t xml:space="preserve">environment_landscape</t>
  </si>
  <si>
    <t xml:space="preserve">2026-04-05</t>
  </si>
  <si>
    <t xml:space="preserve">12:00</t>
  </si>
  <si>
    <t xml:space="preserve">B,C</t>
  </si>
  <si>
    <t xml:space="preserve">#Bharatvarsh #TheQuestion #DystopianFiction #WakeUp #IndianSciFi</t>
  </si>
  <si>
    <t xml:space="preserve">none</t>
  </si>
  <si>
    <t xml:space="preserve">BHV-20260408-001</t>
  </si>
  <si>
    <t xml:space="preserve">Rudra — silence before the storm</t>
  </si>
  <si>
    <t xml:space="preserve">He doesn't speak of what he's done. The Grey Trident insignia speaks for him.</t>
  </si>
  <si>
    <t xml:space="preserve">He doesn't speak of what he's done. The Grey Trident insignia speaks for him. Rudra — warrior, weapon, and the Directorate's most dangerous instrument.</t>
  </si>
  <si>
    <t xml:space="preserve">Bible:Characters:Rudra</t>
  </si>
  <si>
    <t xml:space="preserve">Cinematic portrait of Rudra — battle-worn tactical gear, Grey Trident insignia on shoulder, intense dark eyes, dark atmospheric background with dust particles</t>
  </si>
  <si>
    <t xml:space="preserve">2026-04-08</t>
  </si>
  <si>
    <t xml:space="preserve">#Bharatvarsh #Rudra #GreyTrident #CharacterReveal #IndianSciFi</t>
  </si>
  <si>
    <t xml:space="preserve">BHV-20260410-001</t>
  </si>
  <si>
    <t xml:space="preserve">Oxy Poles — the air you breathe is a gift from the state</t>
  </si>
  <si>
    <t xml:space="preserve">Clean air is not a right. It's a service. And services can be revoked.</t>
  </si>
  <si>
    <t xml:space="preserve">Clean air is not a right. It's a service. And every service can be revoked. The Oxy Poles of Bharatvarsh purify the air — and remind you who controls it.</t>
  </si>
  <si>
    <t xml:space="preserve">Bible:Technology:OxyPoles,Bible:World:StateControl</t>
  </si>
  <si>
    <t xml:space="preserve">Technology close-up of an Oxy Pole — tall slender metallic column, glowing blue-white top section, against obsidian night sky, Mughal geometric patterns in the metalwork</t>
  </si>
  <si>
    <t xml:space="preserve">technology_closeup</t>
  </si>
  <si>
    <t xml:space="preserve">2026-04-10</t>
  </si>
  <si>
    <t xml:space="preserve">A,B,C</t>
  </si>
  <si>
    <t xml:space="preserve">#Bharatvarsh #OxyPoles #WorldBuilding #DystopianFiction #IndianSciFi</t>
  </si>
  <si>
    <t xml:space="preserve">BHARATVARSH CONTENT OPS — PIPELINE DASHBOARD</t>
  </si>
  <si>
    <t xml:space="preserve">STATUS BREAKDOWN</t>
  </si>
  <si>
    <t xml:space="preserve">PILLAR BREAKDOWN</t>
  </si>
  <si>
    <t xml:space="preserve">Status</t>
  </si>
  <si>
    <t xml:space="preserve">Count</t>
  </si>
  <si>
    <t xml:space="preserve">% of Total</t>
  </si>
  <si>
    <t xml:space="preserve">Pillar</t>
  </si>
  <si>
    <t xml:space="preserve">idea</t>
  </si>
  <si>
    <t xml:space="preserve">prompt_ready</t>
  </si>
  <si>
    <t xml:space="preserve">assets_generating</t>
  </si>
  <si>
    <t xml:space="preserve">behind_the_build</t>
  </si>
  <si>
    <t xml:space="preserve">assets_final</t>
  </si>
  <si>
    <t xml:space="preserve">gateway_cta</t>
  </si>
  <si>
    <t xml:space="preserve">rendered</t>
  </si>
  <si>
    <t xml:space="preserve">approved</t>
  </si>
  <si>
    <t xml:space="preserve">scheduled</t>
  </si>
  <si>
    <t xml:space="preserve">published</t>
  </si>
  <si>
    <t xml:space="preserve">analyzing</t>
  </si>
  <si>
    <t xml:space="preserve">TOTAL</t>
  </si>
  <si>
    <t xml:space="preserve">CONTENT CALENDAR — FIELD SCHEMA</t>
  </si>
  <si>
    <t xml:space="preserve">Field</t>
  </si>
  <si>
    <t xml:space="preserve">Type</t>
  </si>
  <si>
    <t xml:space="preserve">Required</t>
  </si>
  <si>
    <t xml:space="preserve">Allowed Values / Pattern</t>
  </si>
  <si>
    <t xml:space="preserve">post_id</t>
  </si>
  <si>
    <t xml:space="preserve">string</t>
  </si>
  <si>
    <t xml:space="preserve">YES</t>
  </si>
  <si>
    <t xml:space="preserve">^BHV-\d{8}-\d{3}$</t>
  </si>
  <si>
    <t xml:space="preserve">campaign</t>
  </si>
  <si>
    <t xml:space="preserve">content_pillar</t>
  </si>
  <si>
    <t xml:space="preserve">world_window, character_spotlight, the_question, behind_the_build, gateway_cta</t>
  </si>
  <si>
    <t xml:space="preserve">topic</t>
  </si>
  <si>
    <t xml:space="preserve">hook</t>
  </si>
  <si>
    <t xml:space="preserve">lore_refs</t>
  </si>
  <si>
    <t xml:space="preserve">classified_status</t>
  </si>
  <si>
    <t xml:space="preserve">declassified, classified</t>
  </si>
  <si>
    <t xml:space="preserve">channels</t>
  </si>
  <si>
    <t xml:space="preserve">format_instagram</t>
  </si>
  <si>
    <t xml:space="preserve">feed_post, reel, story, carousel, </t>
  </si>
  <si>
    <t xml:space="preserve">format_twitter</t>
  </si>
  <si>
    <t xml:space="preserve">single_tweet, thread, poll, quote_tweet, </t>
  </si>
  <si>
    <t xml:space="preserve">format_facebook</t>
  </si>
  <si>
    <t xml:space="preserve">post, reel, story, </t>
  </si>
  <si>
    <t xml:space="preserve">caption_text</t>
  </si>
  <si>
    <t xml:space="preserve">visual_direction</t>
  </si>
  <si>
    <t xml:space="preserve">prompt_template</t>
  </si>
  <si>
    <t xml:space="preserve">asset_ids</t>
  </si>
  <si>
    <t xml:space="preserve">status</t>
  </si>
  <si>
    <t xml:space="preserve">idea, planned, prompt_ready, assets_generating, assets_final, rendered, approved, scheduled, published, analyzing</t>
  </si>
  <si>
    <t xml:space="preserve">scheduled_date</t>
  </si>
  <si>
    <t xml:space="preserve">^\d{4}-\d{2}-\d{2}$</t>
  </si>
  <si>
    <t xml:space="preserve">scheduled_time</t>
  </si>
  <si>
    <t xml:space="preserve">^\d{2}:\d{2}$</t>
  </si>
  <si>
    <t xml:space="preserve">target_audience</t>
  </si>
  <si>
    <t xml:space="preserve">hashtags</t>
  </si>
  <si>
    <t xml:space="preserve">cta_type</t>
  </si>
  <si>
    <t xml:space="preserve">none, website, purchase, lead_magnet, forum, bhoomi, </t>
  </si>
  <si>
    <t xml:space="preserve">cta_link</t>
  </si>
  <si>
    <t xml:space="preserve">format: uri</t>
  </si>
  <si>
    <t xml:space="preserve">published_url</t>
  </si>
  <si>
    <t xml:space="preserve">performance_impressions</t>
  </si>
  <si>
    <t xml:space="preserve">integer/null</t>
  </si>
  <si>
    <t xml:space="preserve">performance_engagement</t>
  </si>
  <si>
    <t xml:space="preserve">number/null</t>
  </si>
  <si>
    <t xml:space="preserve">performance_clicks</t>
  </si>
  <si>
    <t xml:space="preserve">performance_notes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</si>
</sst>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1C232"/>
      <name val="Arial"/>
      <family val="0"/>
      <charset val="1"/>
    </font>
    <font>
      <b val="true"/>
      <sz val="9"/>
      <color rgb="FFE8F0FE"/>
      <name val="Arial"/>
      <family val="0"/>
      <charset val="1"/>
    </font>
    <font>
      <b val="true"/>
      <sz val="9"/>
      <color rgb="FF00E5FF"/>
      <name val="JetBrains Mono"/>
      <family val="0"/>
      <charset val="1"/>
    </font>
    <font>
      <sz val="9"/>
      <color rgb="FFA4C2E8"/>
      <name val="Arial"/>
      <family val="0"/>
      <charset val="1"/>
    </font>
    <font>
      <b val="true"/>
      <sz val="9"/>
      <color rgb="FF22D3EE"/>
      <name val="Arial"/>
      <family val="0"/>
      <charset val="1"/>
    </font>
    <font>
      <sz val="9"/>
      <color rgb="FF34D399"/>
      <name val="Arial"/>
      <family val="0"/>
      <charset val="1"/>
    </font>
    <font>
      <i val="true"/>
      <sz val="9"/>
      <color rgb="FFE8F0FE"/>
      <name val="Arial"/>
      <family val="0"/>
      <charset val="1"/>
    </font>
    <font>
      <b val="true"/>
      <sz val="9"/>
      <color rgb="FF93C5FD"/>
      <name val="Arial"/>
      <family val="0"/>
      <charset val="1"/>
    </font>
    <font>
      <sz val="9"/>
      <color rgb="FFA4C2E8"/>
      <name val="JetBrains Mono"/>
      <family val="0"/>
      <charset val="1"/>
    </font>
    <font>
      <sz val="9"/>
      <color rgb="FF9CA3AF"/>
      <name val="JetBrains Mono"/>
      <family val="0"/>
      <charset val="1"/>
    </font>
    <font>
      <b val="true"/>
      <sz val="9"/>
      <color rgb="FFA78BFA"/>
      <name val="Arial"/>
      <family val="0"/>
      <charset val="1"/>
    </font>
    <font>
      <b val="true"/>
      <sz val="9"/>
      <color rgb="FFFBBF24"/>
      <name val="Arial"/>
      <family val="0"/>
      <charset val="1"/>
    </font>
    <font>
      <b val="true"/>
      <sz val="14"/>
      <color rgb="FFF1C232"/>
      <name val="Arial"/>
      <family val="0"/>
      <charset val="1"/>
    </font>
    <font>
      <b val="true"/>
      <sz val="11"/>
      <color rgb="FFE8F0FE"/>
      <name val="Arial"/>
      <family val="0"/>
      <charset val="1"/>
    </font>
    <font>
      <b val="true"/>
      <sz val="9"/>
      <color rgb="FFE5E7EB"/>
      <name val="Arial"/>
      <family val="0"/>
      <charset val="1"/>
    </font>
    <font>
      <sz val="9"/>
      <color rgb="FFE8F0FE"/>
      <name val="Arial"/>
      <family val="0"/>
      <charset val="1"/>
    </font>
    <font>
      <b val="true"/>
      <sz val="9"/>
      <color rgb="FFFDE68A"/>
      <name val="Arial"/>
      <family val="0"/>
      <charset val="1"/>
    </font>
    <font>
      <b val="true"/>
      <sz val="9"/>
      <color rgb="FFC4B5FD"/>
      <name val="Arial"/>
      <family val="0"/>
      <charset val="1"/>
    </font>
    <font>
      <b val="true"/>
      <sz val="9"/>
      <color rgb="FF34D399"/>
      <name val="Arial"/>
      <family val="0"/>
      <charset val="1"/>
    </font>
    <font>
      <b val="true"/>
      <sz val="9"/>
      <color rgb="FF6EE7B7"/>
      <name val="Arial"/>
      <family val="0"/>
      <charset val="1"/>
    </font>
    <font>
      <b val="true"/>
      <sz val="9"/>
      <color rgb="FFF97316"/>
      <name val="Arial"/>
      <family val="0"/>
      <charset val="1"/>
    </font>
    <font>
      <b val="true"/>
      <sz val="9"/>
      <color rgb="FF67E8F9"/>
      <name val="Arial"/>
      <family val="0"/>
      <charset val="1"/>
    </font>
    <font>
      <b val="true"/>
      <sz val="9"/>
      <color rgb="FF10B981"/>
      <name val="Arial"/>
      <family val="0"/>
      <charset val="1"/>
    </font>
    <font>
      <b val="true"/>
      <sz val="9"/>
      <color rgb="FFFB923C"/>
      <name val="Arial"/>
      <family val="0"/>
      <charset val="1"/>
    </font>
    <font>
      <b val="true"/>
      <sz val="9"/>
      <color rgb="FFF1C232"/>
      <name val="Arial"/>
      <family val="0"/>
      <charset val="1"/>
    </font>
    <font>
      <sz val="9"/>
      <color rgb="FF00E5FF"/>
      <name val="JetBrains Mono"/>
      <family val="0"/>
      <charset val="1"/>
    </font>
    <font>
      <sz val="8"/>
      <color rgb="FFA4C2E8"/>
      <name val="Arial"/>
      <family val="0"/>
      <charset val="1"/>
    </font>
    <font>
      <b val="true"/>
      <sz val="9"/>
      <color rgb="FF6B7280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A2332"/>
        <bgColor rgb="FF1F2937"/>
      </patternFill>
    </fill>
    <fill>
      <patternFill patternType="solid">
        <fgColor rgb="FF0B2742"/>
        <bgColor rgb="FF1A2332"/>
      </patternFill>
    </fill>
    <fill>
      <patternFill patternType="solid">
        <fgColor rgb="FF111820"/>
        <bgColor rgb="FF0F151D"/>
      </patternFill>
    </fill>
    <fill>
      <patternFill patternType="solid">
        <fgColor rgb="FF164E63"/>
        <bgColor rgb="FF1A4A73"/>
      </patternFill>
    </fill>
    <fill>
      <patternFill patternType="solid">
        <fgColor rgb="FF1E3A5F"/>
        <bgColor rgb="FF1A4A73"/>
      </patternFill>
    </fill>
    <fill>
      <patternFill patternType="solid">
        <fgColor rgb="FF0F151D"/>
        <bgColor rgb="FF111820"/>
      </patternFill>
    </fill>
    <fill>
      <patternFill patternType="solid">
        <fgColor rgb="FF5B21B6"/>
        <bgColor rgb="FF800080"/>
      </patternFill>
    </fill>
    <fill>
      <patternFill patternType="solid">
        <fgColor rgb="FF713F12"/>
        <bgColor rgb="FF7C2D12"/>
      </patternFill>
    </fill>
    <fill>
      <patternFill patternType="solid">
        <fgColor rgb="FF12121A"/>
        <bgColor rgb="FF0F151D"/>
      </patternFill>
    </fill>
    <fill>
      <patternFill patternType="solid">
        <fgColor rgb="FF0D1117"/>
        <bgColor rgb="FF12121A"/>
      </patternFill>
    </fill>
    <fill>
      <patternFill patternType="solid">
        <fgColor rgb="FF1A4A73"/>
        <bgColor rgb="FF164E63"/>
      </patternFill>
    </fill>
    <fill>
      <patternFill patternType="solid">
        <fgColor rgb="FF4B5563"/>
        <bgColor rgb="FF1A4A73"/>
      </patternFill>
    </fill>
    <fill>
      <patternFill patternType="solid">
        <fgColor rgb="FF065F46"/>
        <bgColor rgb="FF164E63"/>
      </patternFill>
    </fill>
    <fill>
      <patternFill patternType="solid">
        <fgColor rgb="FF0E4429"/>
        <bgColor rgb="FF164E63"/>
      </patternFill>
    </fill>
    <fill>
      <patternFill patternType="solid">
        <fgColor rgb="FF7C2D12"/>
        <bgColor rgb="FF713F12"/>
      </patternFill>
    </fill>
    <fill>
      <patternFill patternType="solid">
        <fgColor rgb="FF1E40AF"/>
        <bgColor rgb="FF1A4A73"/>
      </patternFill>
    </fill>
    <fill>
      <patternFill patternType="solid">
        <fgColor rgb="FF047857"/>
        <bgColor rgb="FF065F4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F2937"/>
      </left>
      <right style="thin">
        <color rgb="FF1F2937"/>
      </right>
      <top style="thin">
        <color rgb="FF1F2937"/>
      </top>
      <bottom style="thin">
        <color rgb="FF1F2937"/>
      </bottom>
      <diagonal/>
    </border>
    <border diagonalUp="false" diagonalDown="false">
      <left/>
      <right/>
      <top/>
      <bottom style="medium">
        <color rgb="FFF1C23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9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0B2742"/>
          <bgColor rgb="FF000000"/>
        </patternFill>
      </fill>
    </dxf>
    <dxf>
      <fill>
        <patternFill patternType="solid">
          <fgColor rgb="FF0F151D"/>
          <bgColor rgb="FF000000"/>
        </patternFill>
      </fill>
    </dxf>
    <dxf>
      <fill>
        <patternFill patternType="solid">
          <fgColor rgb="FF111820"/>
          <bgColor rgb="FF000000"/>
        </patternFill>
      </fill>
    </dxf>
    <dxf>
      <fill>
        <patternFill patternType="solid">
          <fgColor rgb="FF00E5FF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fgColor rgb="FFA4C2E8"/>
          <bgColor rgb="FF000000"/>
        </patternFill>
      </fill>
    </dxf>
    <dxf>
      <fill>
        <patternFill patternType="solid">
          <fgColor rgb="FF164E63"/>
          <bgColor rgb="FF000000"/>
        </patternFill>
      </fill>
    </dxf>
    <dxf>
      <fill>
        <patternFill patternType="solid">
          <fgColor rgb="FF5B21B6"/>
          <bgColor rgb="FF000000"/>
        </patternFill>
      </fill>
    </dxf>
    <dxf>
      <fill>
        <patternFill patternType="solid">
          <fgColor rgb="FF713F12"/>
          <bgColor rgb="FF000000"/>
        </patternFill>
      </fill>
    </dxf>
    <dxf>
      <fill>
        <patternFill patternType="solid">
          <fgColor rgb="FF22D3EE"/>
          <bgColor rgb="FF000000"/>
        </patternFill>
      </fill>
    </dxf>
    <dxf>
      <fill>
        <patternFill patternType="solid">
          <fgColor rgb="FFA78BFA"/>
          <bgColor rgb="FF000000"/>
        </patternFill>
      </fill>
    </dxf>
    <dxf>
      <fill>
        <patternFill patternType="solid">
          <fgColor rgb="FFFBBF24"/>
          <bgColor rgb="FF000000"/>
        </patternFill>
      </fill>
    </dxf>
    <dxf>
      <fill>
        <patternFill patternType="solid">
          <fgColor rgb="FF34D399"/>
          <bgColor rgb="FF000000"/>
        </patternFill>
      </fill>
    </dxf>
    <dxf>
      <fill>
        <patternFill patternType="solid">
          <fgColor rgb="FF1E3A5F"/>
          <bgColor rgb="FF000000"/>
        </patternFill>
      </fill>
    </dxf>
    <dxf>
      <fill>
        <patternFill patternType="solid">
          <fgColor rgb="FF93C5FD"/>
          <bgColor rgb="FF000000"/>
        </patternFill>
      </fill>
    </dxf>
    <dxf>
      <fill>
        <patternFill patternType="solid">
          <fgColor rgb="FF9CA3AF"/>
          <bgColor rgb="FF000000"/>
        </patternFill>
      </fill>
    </dxf>
  </dxfs>
  <colors>
    <indexedColors>
      <rgbColor rgb="FF000000"/>
      <rgbColor rgb="FFE8F0FE"/>
      <rgbColor rgb="FFFF0000"/>
      <rgbColor rgb="FF00FF00"/>
      <rgbColor rgb="FF0000FF"/>
      <rgbColor rgb="FFFFFF00"/>
      <rgbColor rgb="FFFF00FF"/>
      <rgbColor rgb="FF34D399"/>
      <rgbColor rgb="FF0D1117"/>
      <rgbColor rgb="FF164E63"/>
      <rgbColor rgb="FF0F151D"/>
      <rgbColor rgb="FF808000"/>
      <rgbColor rgb="FF5B21B6"/>
      <rgbColor rgb="FF047857"/>
      <rgbColor rgb="FFA4C2E8"/>
      <rgbColor rgb="FF4B5563"/>
      <rgbColor rgb="FFA78BFA"/>
      <rgbColor rgb="FF713F12"/>
      <rgbColor rgb="FFFFFFCC"/>
      <rgbColor rgb="FFE5E7EB"/>
      <rgbColor rgb="FF111820"/>
      <rgbColor rgb="FFFF8080"/>
      <rgbColor rgb="FF1A4A73"/>
      <rgbColor rgb="FFC4B5FD"/>
      <rgbColor rgb="FF12121A"/>
      <rgbColor rgb="FFFF00FF"/>
      <rgbColor rgb="FFFFFF00"/>
      <rgbColor rgb="FF00FFFF"/>
      <rgbColor rgb="FF800080"/>
      <rgbColor rgb="FF800000"/>
      <rgbColor rgb="FF065F46"/>
      <rgbColor rgb="FF0000FF"/>
      <rgbColor rgb="FF00E5FF"/>
      <rgbColor rgb="FF67E8F9"/>
      <rgbColor rgb="FF6EE7B7"/>
      <rgbColor rgb="FFFDE68A"/>
      <rgbColor rgb="FF93C5FD"/>
      <rgbColor rgb="FFFF99CC"/>
      <rgbColor rgb="FFCC99FF"/>
      <rgbColor rgb="FFF1C232"/>
      <rgbColor rgb="FF8B5CF6"/>
      <rgbColor rgb="FF22D3EE"/>
      <rgbColor rgb="FF99CC00"/>
      <rgbColor rgb="FFFBBF24"/>
      <rgbColor rgb="FFFB923C"/>
      <rgbColor rgb="FFF97316"/>
      <rgbColor rgb="FF6B7280"/>
      <rgbColor rgb="FF9CA3AF"/>
      <rgbColor rgb="FF0B2742"/>
      <rgbColor rgb="FF10B981"/>
      <rgbColor rgb="FF0E4429"/>
      <rgbColor rgb="FF1A2332"/>
      <rgbColor rgb="FF7C2D12"/>
      <rgbColor rgb="FF1E3A5F"/>
      <rgbColor rgb="FF1E40AF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1C232"/>
    <pageSetUpPr fitToPage="false"/>
  </sheetPr>
  <dimension ref="A1:A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42"/>
    <col collapsed="false" customWidth="true" hidden="false" outlineLevel="0" max="6" min="6" style="0" width="50"/>
    <col collapsed="false" customWidth="true" hidden="false" outlineLevel="0" max="7" min="7" style="0" width="55"/>
    <col collapsed="false" customWidth="true" hidden="false" outlineLevel="0" max="8" min="8" style="0" width="28"/>
    <col collapsed="false" customWidth="true" hidden="false" outlineLevel="0" max="9" min="9" style="0" width="50"/>
    <col collapsed="false" customWidth="true" hidden="false" outlineLevel="0" max="10" min="10" style="0" width="18"/>
    <col collapsed="false" customWidth="true" hidden="false" outlineLevel="0" max="11" min="11" style="0" width="20"/>
    <col collapsed="false" customWidth="true" hidden="false" outlineLevel="0" max="12" min="12" style="0" width="22"/>
    <col collapsed="false" customWidth="true" hidden="false" outlineLevel="0" max="15" min="13" style="0" width="14"/>
    <col collapsed="false" customWidth="true" hidden="false" outlineLevel="0" max="16" min="16" style="0" width="16"/>
    <col collapsed="false" customWidth="true" hidden="false" outlineLevel="0" max="17" min="17" style="0" width="14"/>
    <col collapsed="false" customWidth="true" hidden="false" outlineLevel="0" max="19" min="18" style="0" width="12"/>
    <col collapsed="false" customWidth="true" hidden="false" outlineLevel="0" max="20" min="20" style="0" width="40"/>
    <col collapsed="false" customWidth="true" hidden="false" outlineLevel="0" max="21" min="21" style="0" width="14"/>
    <col collapsed="false" customWidth="true" hidden="false" outlineLevel="0" max="23" min="22" style="0" width="30"/>
    <col collapsed="false" customWidth="true" hidden="false" outlineLevel="0" max="25" min="24" style="0" width="14"/>
    <col collapsed="false" customWidth="true" hidden="false" outlineLevel="0" max="26" min="26" style="0" width="12"/>
    <col collapsed="false" customWidth="true" hidden="false" outlineLevel="0" max="27" min="27" style="0" width="3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 t="s">
        <v>2</v>
      </c>
      <c r="J1" s="1"/>
      <c r="K1" s="1"/>
      <c r="L1" s="1" t="s">
        <v>3</v>
      </c>
      <c r="M1" s="1"/>
      <c r="N1" s="1"/>
      <c r="O1" s="1"/>
      <c r="P1" s="1" t="s">
        <v>4</v>
      </c>
      <c r="Q1" s="1"/>
      <c r="R1" s="1"/>
      <c r="S1" s="1" t="s">
        <v>5</v>
      </c>
      <c r="T1" s="1"/>
      <c r="U1" s="1"/>
      <c r="V1" s="1"/>
      <c r="W1" s="1" t="s">
        <v>6</v>
      </c>
      <c r="X1" s="1"/>
      <c r="Y1" s="1"/>
      <c r="Z1" s="1"/>
      <c r="AA1" s="1"/>
    </row>
    <row r="2" customFormat="false" ht="30" hidden="false" customHeight="tru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</row>
    <row r="3" customFormat="false" ht="48" hidden="false" customHeight="true" outlineLevel="0" collapsed="false">
      <c r="A3" s="3" t="s">
        <v>34</v>
      </c>
      <c r="B3" s="4" t="s">
        <v>35</v>
      </c>
      <c r="C3" s="5" t="s">
        <v>36</v>
      </c>
      <c r="D3" s="6" t="s">
        <v>37</v>
      </c>
      <c r="E3" s="4" t="s">
        <v>38</v>
      </c>
      <c r="F3" s="7" t="s">
        <v>39</v>
      </c>
      <c r="G3" s="4" t="s">
        <v>40</v>
      </c>
      <c r="H3" s="4" t="s">
        <v>41</v>
      </c>
      <c r="I3" s="4" t="s">
        <v>42</v>
      </c>
      <c r="J3" s="4" t="s">
        <v>43</v>
      </c>
      <c r="K3" s="4"/>
      <c r="L3" s="4" t="s">
        <v>44</v>
      </c>
      <c r="M3" s="4" t="s">
        <v>45</v>
      </c>
      <c r="N3" s="4" t="s">
        <v>46</v>
      </c>
      <c r="O3" s="4" t="s">
        <v>47</v>
      </c>
      <c r="P3" s="8" t="s">
        <v>48</v>
      </c>
      <c r="Q3" s="9" t="s">
        <v>49</v>
      </c>
      <c r="R3" s="9" t="s">
        <v>50</v>
      </c>
      <c r="S3" s="4" t="s">
        <v>51</v>
      </c>
      <c r="T3" s="4" t="s">
        <v>52</v>
      </c>
      <c r="U3" s="4" t="s">
        <v>53</v>
      </c>
      <c r="V3" s="4" t="s">
        <v>54</v>
      </c>
      <c r="W3" s="4"/>
      <c r="X3" s="10"/>
      <c r="Y3" s="10"/>
      <c r="Z3" s="10"/>
      <c r="AA3" s="10"/>
    </row>
    <row r="4" customFormat="false" ht="48" hidden="false" customHeight="true" outlineLevel="0" collapsed="false">
      <c r="A4" s="11" t="s">
        <v>55</v>
      </c>
      <c r="B4" s="12" t="s">
        <v>56</v>
      </c>
      <c r="C4" s="13" t="s">
        <v>57</v>
      </c>
      <c r="D4" s="14" t="s">
        <v>37</v>
      </c>
      <c r="E4" s="12" t="s">
        <v>58</v>
      </c>
      <c r="F4" s="15" t="s">
        <v>59</v>
      </c>
      <c r="G4" s="12" t="s">
        <v>60</v>
      </c>
      <c r="H4" s="12" t="s">
        <v>61</v>
      </c>
      <c r="I4" s="12" t="s">
        <v>62</v>
      </c>
      <c r="J4" s="12" t="s">
        <v>63</v>
      </c>
      <c r="K4" s="12"/>
      <c r="L4" s="12" t="s">
        <v>64</v>
      </c>
      <c r="M4" s="12" t="s">
        <v>45</v>
      </c>
      <c r="N4" s="12" t="s">
        <v>65</v>
      </c>
      <c r="O4" s="12"/>
      <c r="P4" s="8" t="s">
        <v>48</v>
      </c>
      <c r="Q4" s="16" t="s">
        <v>66</v>
      </c>
      <c r="R4" s="16" t="s">
        <v>67</v>
      </c>
      <c r="S4" s="12" t="s">
        <v>51</v>
      </c>
      <c r="T4" s="12" t="s">
        <v>68</v>
      </c>
      <c r="U4" s="12" t="s">
        <v>53</v>
      </c>
      <c r="V4" s="12" t="s">
        <v>54</v>
      </c>
      <c r="W4" s="12"/>
      <c r="X4" s="17"/>
      <c r="Y4" s="17"/>
      <c r="Z4" s="17"/>
      <c r="AA4" s="17"/>
    </row>
    <row r="5" customFormat="false" ht="48" hidden="false" customHeight="true" outlineLevel="0" collapsed="false">
      <c r="A5" s="3" t="s">
        <v>69</v>
      </c>
      <c r="B5" s="4" t="s">
        <v>35</v>
      </c>
      <c r="C5" s="18" t="s">
        <v>70</v>
      </c>
      <c r="D5" s="6" t="s">
        <v>37</v>
      </c>
      <c r="E5" s="4" t="s">
        <v>71</v>
      </c>
      <c r="F5" s="7" t="s">
        <v>72</v>
      </c>
      <c r="G5" s="4" t="s">
        <v>73</v>
      </c>
      <c r="H5" s="4" t="s">
        <v>74</v>
      </c>
      <c r="I5" s="4" t="s">
        <v>75</v>
      </c>
      <c r="J5" s="4" t="s">
        <v>76</v>
      </c>
      <c r="K5" s="4"/>
      <c r="L5" s="4" t="s">
        <v>44</v>
      </c>
      <c r="M5" s="4" t="s">
        <v>45</v>
      </c>
      <c r="N5" s="4" t="s">
        <v>46</v>
      </c>
      <c r="O5" s="4" t="s">
        <v>47</v>
      </c>
      <c r="P5" s="8" t="s">
        <v>48</v>
      </c>
      <c r="Q5" s="9" t="s">
        <v>77</v>
      </c>
      <c r="R5" s="9" t="s">
        <v>78</v>
      </c>
      <c r="S5" s="4" t="s">
        <v>79</v>
      </c>
      <c r="T5" s="4" t="s">
        <v>80</v>
      </c>
      <c r="U5" s="4" t="s">
        <v>81</v>
      </c>
      <c r="V5" s="4"/>
      <c r="W5" s="4"/>
      <c r="X5" s="10"/>
      <c r="Y5" s="10"/>
      <c r="Z5" s="10"/>
      <c r="AA5" s="10"/>
    </row>
    <row r="6" customFormat="false" ht="48" hidden="false" customHeight="true" outlineLevel="0" collapsed="false">
      <c r="A6" s="11" t="s">
        <v>82</v>
      </c>
      <c r="B6" s="12" t="s">
        <v>56</v>
      </c>
      <c r="C6" s="13" t="s">
        <v>57</v>
      </c>
      <c r="D6" s="14" t="s">
        <v>37</v>
      </c>
      <c r="E6" s="12" t="s">
        <v>83</v>
      </c>
      <c r="F6" s="15" t="s">
        <v>84</v>
      </c>
      <c r="G6" s="12" t="s">
        <v>85</v>
      </c>
      <c r="H6" s="12" t="s">
        <v>86</v>
      </c>
      <c r="I6" s="12" t="s">
        <v>87</v>
      </c>
      <c r="J6" s="12" t="s">
        <v>63</v>
      </c>
      <c r="K6" s="12"/>
      <c r="L6" s="12" t="s">
        <v>64</v>
      </c>
      <c r="M6" s="12" t="s">
        <v>45</v>
      </c>
      <c r="N6" s="12" t="s">
        <v>46</v>
      </c>
      <c r="O6" s="12"/>
      <c r="P6" s="8" t="s">
        <v>48</v>
      </c>
      <c r="Q6" s="16" t="s">
        <v>88</v>
      </c>
      <c r="R6" s="16" t="s">
        <v>67</v>
      </c>
      <c r="S6" s="12" t="s">
        <v>51</v>
      </c>
      <c r="T6" s="12" t="s">
        <v>89</v>
      </c>
      <c r="U6" s="12" t="s">
        <v>53</v>
      </c>
      <c r="V6" s="12" t="s">
        <v>54</v>
      </c>
      <c r="W6" s="12"/>
      <c r="X6" s="17"/>
      <c r="Y6" s="17"/>
      <c r="Z6" s="17"/>
      <c r="AA6" s="17"/>
    </row>
    <row r="7" customFormat="false" ht="48" hidden="false" customHeight="true" outlineLevel="0" collapsed="false">
      <c r="A7" s="3" t="s">
        <v>90</v>
      </c>
      <c r="B7" s="4" t="s">
        <v>35</v>
      </c>
      <c r="C7" s="5" t="s">
        <v>36</v>
      </c>
      <c r="D7" s="6" t="s">
        <v>37</v>
      </c>
      <c r="E7" s="4" t="s">
        <v>91</v>
      </c>
      <c r="F7" s="7" t="s">
        <v>92</v>
      </c>
      <c r="G7" s="4" t="s">
        <v>93</v>
      </c>
      <c r="H7" s="4" t="s">
        <v>94</v>
      </c>
      <c r="I7" s="4" t="s">
        <v>95</v>
      </c>
      <c r="J7" s="4" t="s">
        <v>96</v>
      </c>
      <c r="K7" s="4"/>
      <c r="L7" s="4" t="s">
        <v>44</v>
      </c>
      <c r="M7" s="4" t="s">
        <v>45</v>
      </c>
      <c r="N7" s="4" t="s">
        <v>46</v>
      </c>
      <c r="O7" s="4" t="s">
        <v>47</v>
      </c>
      <c r="P7" s="8" t="s">
        <v>48</v>
      </c>
      <c r="Q7" s="9" t="s">
        <v>97</v>
      </c>
      <c r="R7" s="9" t="s">
        <v>50</v>
      </c>
      <c r="S7" s="4" t="s">
        <v>98</v>
      </c>
      <c r="T7" s="4" t="s">
        <v>99</v>
      </c>
      <c r="U7" s="4" t="s">
        <v>53</v>
      </c>
      <c r="V7" s="4" t="s">
        <v>54</v>
      </c>
      <c r="W7" s="4"/>
      <c r="X7" s="10"/>
      <c r="Y7" s="10"/>
      <c r="Z7" s="10"/>
      <c r="AA7" s="10"/>
    </row>
  </sheetData>
  <autoFilter ref="A2:AA7"/>
  <mergeCells count="7">
    <mergeCell ref="A1:D1"/>
    <mergeCell ref="E1:H1"/>
    <mergeCell ref="I1:K1"/>
    <mergeCell ref="L1:O1"/>
    <mergeCell ref="P1:R1"/>
    <mergeCell ref="S1:V1"/>
    <mergeCell ref="W1:AA1"/>
  </mergeCells>
  <dataValidations count="7">
    <dataValidation allowBlank="true" error="Must be a valid content pillar" errorStyle="stop" errorTitle="Invalid Pillar" operator="between" showDropDown="false" showErrorMessage="false" showInputMessage="false" sqref="C3:C100" type="list">
      <formula1>"world_window,character_spotlight,the_question,behind_the_build,gateway_cta"</formula1>
      <formula2>0</formula2>
    </dataValidation>
    <dataValidation allowBlank="true" error="Must be a valid pipeline status" errorStyle="stop" operator="between" showDropDown="false" showErrorMessage="false" showInputMessage="false" sqref="P3:P100" type="list">
      <formula1>"idea,planned,prompt_ready,assets_generating,assets_final,rendered,approved,scheduled,published,analyzing"</formula1>
      <formula2>0</formula2>
    </dataValidation>
    <dataValidation allowBlank="true" errorStyle="stop" operator="between" showDropDown="false" showErrorMessage="false" showInputMessage="false" sqref="D3:D100" type="list">
      <formula1>"declassified,classified"</formula1>
      <formula2>0</formula2>
    </dataValidation>
    <dataValidation allowBlank="true" errorStyle="stop" operator="between" showDropDown="false" showErrorMessage="false" showInputMessage="false" sqref="U3:U100" type="list">
      <formula1>"none,website,purchase,lead_magnet,forum,bhoomi"</formula1>
      <formula2>0</formula2>
    </dataValidation>
    <dataValidation allowBlank="true" errorStyle="stop" operator="between" showDropDown="false" showErrorMessage="false" showInputMessage="false" sqref="M3:M100" type="list">
      <formula1>"feed_post,reel,story,carousel"</formula1>
      <formula2>0</formula2>
    </dataValidation>
    <dataValidation allowBlank="true" errorStyle="stop" operator="between" showDropDown="false" showErrorMessage="false" showInputMessage="false" sqref="N3:N100" type="list">
      <formula1>"single_tweet,thread,poll,quote_tweet"</formula1>
      <formula2>0</formula2>
    </dataValidation>
    <dataValidation allowBlank="true" errorStyle="stop" operator="between" showDropDown="false" showErrorMessage="false" showInputMessage="false" sqref="O3:O100" type="list">
      <formula1>"post,reel,story"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E5FF"/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39.75" hidden="false" customHeight="true" outlineLevel="0" collapsed="false">
      <c r="A1" s="19" t="s">
        <v>100</v>
      </c>
      <c r="B1" s="19"/>
      <c r="C1" s="19"/>
      <c r="D1" s="19"/>
      <c r="E1" s="19"/>
      <c r="F1" s="19"/>
      <c r="G1" s="20"/>
    </row>
    <row r="2" customFormat="false" ht="15" hidden="false" customHeight="false" outlineLevel="0" collapsed="false">
      <c r="A2" s="20"/>
      <c r="B2" s="20"/>
      <c r="C2" s="20"/>
      <c r="D2" s="20"/>
      <c r="E2" s="20"/>
      <c r="F2" s="20"/>
      <c r="G2" s="20"/>
    </row>
    <row r="3" customFormat="false" ht="15" hidden="false" customHeight="false" outlineLevel="0" collapsed="false">
      <c r="A3" s="21" t="s">
        <v>101</v>
      </c>
      <c r="B3" s="21"/>
      <c r="C3" s="21"/>
      <c r="D3" s="20"/>
      <c r="E3" s="21" t="s">
        <v>102</v>
      </c>
      <c r="F3" s="21"/>
      <c r="G3" s="21"/>
    </row>
    <row r="4" customFormat="false" ht="15" hidden="false" customHeight="false" outlineLevel="0" collapsed="false">
      <c r="A4" s="22" t="s">
        <v>103</v>
      </c>
      <c r="B4" s="22" t="s">
        <v>104</v>
      </c>
      <c r="C4" s="22" t="s">
        <v>105</v>
      </c>
      <c r="D4" s="20"/>
      <c r="E4" s="22" t="s">
        <v>106</v>
      </c>
      <c r="F4" s="22" t="s">
        <v>104</v>
      </c>
      <c r="G4" s="22" t="s">
        <v>105</v>
      </c>
    </row>
    <row r="5" customFormat="false" ht="15" hidden="false" customHeight="false" outlineLevel="0" collapsed="false">
      <c r="A5" s="23" t="s">
        <v>107</v>
      </c>
      <c r="B5" s="24" t="n">
        <f aca="false">COUNTIF('Content Calendar'!P:P,A5)</f>
        <v>0</v>
      </c>
      <c r="C5" s="25" t="n">
        <f aca="false">IF(SUM(B5:B14)&gt;0,B5/SUM(B5:B14),0)</f>
        <v>0</v>
      </c>
      <c r="D5" s="20"/>
      <c r="E5" s="26" t="s">
        <v>36</v>
      </c>
      <c r="F5" s="24" t="n">
        <f aca="false">COUNTIF('Content Calendar'!C:C,E5)</f>
        <v>2</v>
      </c>
      <c r="G5" s="25" t="n">
        <f aca="false">IF(SUM(F5:F9)&gt;0,F5/SUM(F5:F9),0)</f>
        <v>0.4</v>
      </c>
    </row>
    <row r="6" customFormat="false" ht="15" hidden="false" customHeight="false" outlineLevel="0" collapsed="false">
      <c r="A6" s="27" t="s">
        <v>48</v>
      </c>
      <c r="B6" s="24" t="n">
        <f aca="false">COUNTIF('Content Calendar'!P:P,A6)</f>
        <v>5</v>
      </c>
      <c r="C6" s="25" t="n">
        <f aca="false">IF(SUM(B5:B14)&gt;0,B6/SUM(B5:B14),0)</f>
        <v>1</v>
      </c>
      <c r="D6" s="20"/>
      <c r="E6" s="28" t="s">
        <v>57</v>
      </c>
      <c r="F6" s="24" t="n">
        <f aca="false">COUNTIF('Content Calendar'!C:C,E6)</f>
        <v>2</v>
      </c>
      <c r="G6" s="25" t="n">
        <f aca="false">IF(SUM(F5:F9)&gt;0,F6/SUM(F5:F9),0)</f>
        <v>0.4</v>
      </c>
    </row>
    <row r="7" customFormat="false" ht="15" hidden="false" customHeight="false" outlineLevel="0" collapsed="false">
      <c r="A7" s="29" t="s">
        <v>108</v>
      </c>
      <c r="B7" s="24" t="n">
        <f aca="false">COUNTIF('Content Calendar'!P:P,A7)</f>
        <v>0</v>
      </c>
      <c r="C7" s="25" t="n">
        <f aca="false">IF(SUM(B5:B14)&gt;0,B7/SUM(B5:B14),0)</f>
        <v>0</v>
      </c>
      <c r="D7" s="20"/>
      <c r="E7" s="30" t="s">
        <v>70</v>
      </c>
      <c r="F7" s="24" t="n">
        <f aca="false">COUNTIF('Content Calendar'!C:C,E7)</f>
        <v>1</v>
      </c>
      <c r="G7" s="25" t="n">
        <f aca="false">IF(SUM(F5:F9)&gt;0,F7/SUM(F5:F9),0)</f>
        <v>0.2</v>
      </c>
    </row>
    <row r="8" customFormat="false" ht="15" hidden="false" customHeight="false" outlineLevel="0" collapsed="false">
      <c r="A8" s="31" t="s">
        <v>109</v>
      </c>
      <c r="B8" s="24" t="n">
        <f aca="false">COUNTIF('Content Calendar'!P:P,A8)</f>
        <v>0</v>
      </c>
      <c r="C8" s="25" t="n">
        <f aca="false">IF(SUM(B5:B14)&gt;0,B8/SUM(B5:B14),0)</f>
        <v>0</v>
      </c>
      <c r="D8" s="20"/>
      <c r="E8" s="32" t="s">
        <v>110</v>
      </c>
      <c r="F8" s="24" t="n">
        <f aca="false">COUNTIF('Content Calendar'!C:C,E8)</f>
        <v>0</v>
      </c>
      <c r="G8" s="25" t="n">
        <f aca="false">IF(SUM(F5:F9)&gt;0,F8/SUM(F5:F9),0)</f>
        <v>0</v>
      </c>
    </row>
    <row r="9" customFormat="false" ht="15" hidden="false" customHeight="false" outlineLevel="0" collapsed="false">
      <c r="A9" s="33" t="s">
        <v>111</v>
      </c>
      <c r="B9" s="24" t="n">
        <f aca="false">COUNTIF('Content Calendar'!P:P,A9)</f>
        <v>0</v>
      </c>
      <c r="C9" s="25" t="n">
        <f aca="false">IF(SUM(B5:B14)&gt;0,B9/SUM(B5:B14),0)</f>
        <v>0</v>
      </c>
      <c r="D9" s="20"/>
      <c r="E9" s="34" t="s">
        <v>112</v>
      </c>
      <c r="F9" s="24" t="n">
        <f aca="false">COUNTIF('Content Calendar'!C:C,E9)</f>
        <v>0</v>
      </c>
      <c r="G9" s="25" t="n">
        <f aca="false">IF(SUM(F5:F9)&gt;0,F9/SUM(F5:F9),0)</f>
        <v>0</v>
      </c>
    </row>
    <row r="10" customFormat="false" ht="15" hidden="false" customHeight="false" outlineLevel="0" collapsed="false">
      <c r="A10" s="35" t="s">
        <v>113</v>
      </c>
      <c r="B10" s="24" t="n">
        <f aca="false">COUNTIF('Content Calendar'!P:P,A10)</f>
        <v>0</v>
      </c>
      <c r="C10" s="25" t="n">
        <f aca="false">IF(SUM(B5:B14)&gt;0,B10/SUM(B5:B14),0)</f>
        <v>0</v>
      </c>
      <c r="D10" s="20"/>
      <c r="E10" s="20"/>
      <c r="F10" s="20"/>
      <c r="G10" s="20"/>
    </row>
    <row r="11" customFormat="false" ht="15" hidden="false" customHeight="false" outlineLevel="0" collapsed="false">
      <c r="A11" s="32" t="s">
        <v>114</v>
      </c>
      <c r="B11" s="24" t="n">
        <f aca="false">COUNTIF('Content Calendar'!P:P,A11)</f>
        <v>0</v>
      </c>
      <c r="C11" s="25" t="n">
        <f aca="false">IF(SUM(B5:B14)&gt;0,B11/SUM(B5:B14),0)</f>
        <v>0</v>
      </c>
      <c r="D11" s="20"/>
      <c r="E11" s="20"/>
      <c r="F11" s="20"/>
      <c r="G11" s="20"/>
    </row>
    <row r="12" customFormat="false" ht="15" hidden="false" customHeight="false" outlineLevel="0" collapsed="false">
      <c r="A12" s="36" t="s">
        <v>115</v>
      </c>
      <c r="B12" s="24" t="n">
        <f aca="false">COUNTIF('Content Calendar'!P:P,A12)</f>
        <v>0</v>
      </c>
      <c r="C12" s="25" t="n">
        <f aca="false">IF(SUM(B5:B14)&gt;0,B12/SUM(B5:B14),0)</f>
        <v>0</v>
      </c>
      <c r="D12" s="20"/>
      <c r="E12" s="20"/>
      <c r="F12" s="20"/>
      <c r="G12" s="20"/>
    </row>
    <row r="13" customFormat="false" ht="15" hidden="false" customHeight="false" outlineLevel="0" collapsed="false">
      <c r="A13" s="37" t="s">
        <v>116</v>
      </c>
      <c r="B13" s="24" t="n">
        <f aca="false">COUNTIF('Content Calendar'!P:P,A13)</f>
        <v>0</v>
      </c>
      <c r="C13" s="25" t="n">
        <f aca="false">IF(SUM(B5:B14)&gt;0,B13/SUM(B5:B14),0)</f>
        <v>0</v>
      </c>
      <c r="D13" s="20"/>
      <c r="E13" s="20"/>
      <c r="F13" s="20"/>
      <c r="G13" s="20"/>
    </row>
    <row r="14" customFormat="false" ht="15" hidden="false" customHeight="false" outlineLevel="0" collapsed="false">
      <c r="A14" s="38" t="s">
        <v>117</v>
      </c>
      <c r="B14" s="24" t="n">
        <f aca="false">COUNTIF('Content Calendar'!P:P,A14)</f>
        <v>0</v>
      </c>
      <c r="C14" s="25" t="n">
        <f aca="false">IF(SUM(B5:B14)&gt;0,B14/SUM(B5:B14),0)</f>
        <v>0</v>
      </c>
      <c r="D14" s="20"/>
      <c r="E14" s="20"/>
      <c r="F14" s="20"/>
      <c r="G14" s="20"/>
    </row>
    <row r="15" customFormat="false" ht="15" hidden="false" customHeight="false" outlineLevel="0" collapsed="false">
      <c r="A15" s="39" t="s">
        <v>118</v>
      </c>
      <c r="B15" s="40" t="n">
        <f aca="false">SUM(B5:B14)</f>
        <v>5</v>
      </c>
      <c r="C15" s="20"/>
      <c r="D15" s="20"/>
      <c r="E15" s="20"/>
      <c r="F15" s="20"/>
      <c r="G15" s="20"/>
    </row>
    <row r="16" customFormat="false" ht="15" hidden="false" customHeight="false" outlineLevel="0" collapsed="false">
      <c r="A16" s="20"/>
      <c r="B16" s="20"/>
      <c r="C16" s="20"/>
      <c r="D16" s="20"/>
      <c r="E16" s="20"/>
      <c r="F16" s="20"/>
      <c r="G16" s="20"/>
    </row>
    <row r="17" customFormat="false" ht="15" hidden="false" customHeight="false" outlineLevel="0" collapsed="false">
      <c r="A17" s="20"/>
      <c r="B17" s="20"/>
      <c r="C17" s="20"/>
      <c r="D17" s="20"/>
      <c r="E17" s="20"/>
      <c r="F17" s="20"/>
      <c r="G17" s="20"/>
    </row>
    <row r="18" customFormat="false" ht="15" hidden="false" customHeight="false" outlineLevel="0" collapsed="false">
      <c r="A18" s="20"/>
      <c r="B18" s="20"/>
      <c r="C18" s="20"/>
      <c r="D18" s="20"/>
      <c r="E18" s="20"/>
      <c r="F18" s="20"/>
      <c r="G18" s="20"/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0"/>
      <c r="G19" s="20"/>
    </row>
  </sheetData>
  <mergeCells count="3">
    <mergeCell ref="A1:F1"/>
    <mergeCell ref="A3:C3"/>
    <mergeCell ref="E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55"/>
  </cols>
  <sheetData>
    <row r="1" customFormat="false" ht="39.75" hidden="false" customHeight="true" outlineLevel="0" collapsed="false">
      <c r="A1" s="19" t="s">
        <v>119</v>
      </c>
      <c r="B1" s="19"/>
      <c r="C1" s="19"/>
      <c r="D1" s="19"/>
    </row>
    <row r="2" customFormat="false" ht="15" hidden="false" customHeight="false" outlineLevel="0" collapsed="false">
      <c r="A2" s="41" t="s">
        <v>120</v>
      </c>
      <c r="B2" s="41" t="s">
        <v>121</v>
      </c>
      <c r="C2" s="41" t="s">
        <v>122</v>
      </c>
      <c r="D2" s="41" t="s">
        <v>123</v>
      </c>
    </row>
    <row r="3" customFormat="false" ht="15" hidden="false" customHeight="false" outlineLevel="0" collapsed="false">
      <c r="A3" s="42" t="s">
        <v>124</v>
      </c>
      <c r="B3" s="43" t="s">
        <v>125</v>
      </c>
      <c r="C3" s="44" t="s">
        <v>126</v>
      </c>
      <c r="D3" s="45" t="s">
        <v>127</v>
      </c>
    </row>
    <row r="4" customFormat="false" ht="15" hidden="false" customHeight="false" outlineLevel="0" collapsed="false">
      <c r="A4" s="46" t="s">
        <v>128</v>
      </c>
      <c r="B4" s="47" t="s">
        <v>125</v>
      </c>
      <c r="C4" s="48" t="s">
        <v>126</v>
      </c>
      <c r="D4" s="49"/>
    </row>
    <row r="5" customFormat="false" ht="15" hidden="false" customHeight="false" outlineLevel="0" collapsed="false">
      <c r="A5" s="42" t="s">
        <v>129</v>
      </c>
      <c r="B5" s="43" t="s">
        <v>125</v>
      </c>
      <c r="C5" s="44" t="s">
        <v>126</v>
      </c>
      <c r="D5" s="45" t="s">
        <v>130</v>
      </c>
    </row>
    <row r="6" customFormat="false" ht="15" hidden="false" customHeight="false" outlineLevel="0" collapsed="false">
      <c r="A6" s="46" t="s">
        <v>131</v>
      </c>
      <c r="B6" s="47" t="s">
        <v>125</v>
      </c>
      <c r="C6" s="48" t="s">
        <v>126</v>
      </c>
      <c r="D6" s="49"/>
    </row>
    <row r="7" customFormat="false" ht="15" hidden="false" customHeight="false" outlineLevel="0" collapsed="false">
      <c r="A7" s="42" t="s">
        <v>132</v>
      </c>
      <c r="B7" s="43" t="s">
        <v>125</v>
      </c>
      <c r="C7" s="44" t="s">
        <v>126</v>
      </c>
      <c r="D7" s="45"/>
    </row>
    <row r="8" customFormat="false" ht="15" hidden="false" customHeight="false" outlineLevel="0" collapsed="false">
      <c r="A8" s="46" t="s">
        <v>133</v>
      </c>
      <c r="B8" s="47" t="s">
        <v>125</v>
      </c>
      <c r="C8" s="50"/>
      <c r="D8" s="49"/>
    </row>
    <row r="9" customFormat="false" ht="15" hidden="false" customHeight="false" outlineLevel="0" collapsed="false">
      <c r="A9" s="42" t="s">
        <v>134</v>
      </c>
      <c r="B9" s="43" t="s">
        <v>125</v>
      </c>
      <c r="C9" s="44" t="s">
        <v>126</v>
      </c>
      <c r="D9" s="45" t="s">
        <v>135</v>
      </c>
    </row>
    <row r="10" customFormat="false" ht="15" hidden="false" customHeight="false" outlineLevel="0" collapsed="false">
      <c r="A10" s="46" t="s">
        <v>136</v>
      </c>
      <c r="B10" s="47" t="s">
        <v>125</v>
      </c>
      <c r="C10" s="48" t="s">
        <v>126</v>
      </c>
      <c r="D10" s="49"/>
    </row>
    <row r="11" customFormat="false" ht="15" hidden="false" customHeight="false" outlineLevel="0" collapsed="false">
      <c r="A11" s="42" t="s">
        <v>137</v>
      </c>
      <c r="B11" s="43" t="s">
        <v>125</v>
      </c>
      <c r="C11" s="51"/>
      <c r="D11" s="45" t="s">
        <v>138</v>
      </c>
    </row>
    <row r="12" customFormat="false" ht="15" hidden="false" customHeight="false" outlineLevel="0" collapsed="false">
      <c r="A12" s="46" t="s">
        <v>139</v>
      </c>
      <c r="B12" s="47" t="s">
        <v>125</v>
      </c>
      <c r="C12" s="50"/>
      <c r="D12" s="49" t="s">
        <v>140</v>
      </c>
    </row>
    <row r="13" customFormat="false" ht="15" hidden="false" customHeight="false" outlineLevel="0" collapsed="false">
      <c r="A13" s="42" t="s">
        <v>141</v>
      </c>
      <c r="B13" s="43" t="s">
        <v>125</v>
      </c>
      <c r="C13" s="51"/>
      <c r="D13" s="45" t="s">
        <v>142</v>
      </c>
    </row>
    <row r="14" customFormat="false" ht="15" hidden="false" customHeight="false" outlineLevel="0" collapsed="false">
      <c r="A14" s="46" t="s">
        <v>143</v>
      </c>
      <c r="B14" s="47" t="s">
        <v>125</v>
      </c>
      <c r="C14" s="50"/>
      <c r="D14" s="49"/>
    </row>
    <row r="15" customFormat="false" ht="15" hidden="false" customHeight="false" outlineLevel="0" collapsed="false">
      <c r="A15" s="42" t="s">
        <v>144</v>
      </c>
      <c r="B15" s="43" t="s">
        <v>125</v>
      </c>
      <c r="C15" s="51"/>
      <c r="D15" s="45"/>
    </row>
    <row r="16" customFormat="false" ht="15" hidden="false" customHeight="false" outlineLevel="0" collapsed="false">
      <c r="A16" s="46" t="s">
        <v>145</v>
      </c>
      <c r="B16" s="47" t="s">
        <v>125</v>
      </c>
      <c r="C16" s="50"/>
      <c r="D16" s="49"/>
    </row>
    <row r="17" customFormat="false" ht="15" hidden="false" customHeight="false" outlineLevel="0" collapsed="false">
      <c r="A17" s="42" t="s">
        <v>146</v>
      </c>
      <c r="B17" s="43" t="s">
        <v>125</v>
      </c>
      <c r="C17" s="51"/>
      <c r="D17" s="45"/>
    </row>
    <row r="18" customFormat="false" ht="15" hidden="false" customHeight="false" outlineLevel="0" collapsed="false">
      <c r="A18" s="46" t="s">
        <v>147</v>
      </c>
      <c r="B18" s="47" t="s">
        <v>125</v>
      </c>
      <c r="C18" s="48" t="s">
        <v>126</v>
      </c>
      <c r="D18" s="49" t="s">
        <v>148</v>
      </c>
    </row>
    <row r="19" customFormat="false" ht="15" hidden="false" customHeight="false" outlineLevel="0" collapsed="false">
      <c r="A19" s="42" t="s">
        <v>149</v>
      </c>
      <c r="B19" s="43" t="s">
        <v>125</v>
      </c>
      <c r="C19" s="51"/>
      <c r="D19" s="45" t="s">
        <v>150</v>
      </c>
    </row>
    <row r="20" customFormat="false" ht="15" hidden="false" customHeight="false" outlineLevel="0" collapsed="false">
      <c r="A20" s="46" t="s">
        <v>151</v>
      </c>
      <c r="B20" s="47" t="s">
        <v>125</v>
      </c>
      <c r="C20" s="50"/>
      <c r="D20" s="49" t="s">
        <v>152</v>
      </c>
    </row>
    <row r="21" customFormat="false" ht="15" hidden="false" customHeight="false" outlineLevel="0" collapsed="false">
      <c r="A21" s="42" t="s">
        <v>153</v>
      </c>
      <c r="B21" s="43" t="s">
        <v>125</v>
      </c>
      <c r="C21" s="51"/>
      <c r="D21" s="45"/>
    </row>
    <row r="22" customFormat="false" ht="15" hidden="false" customHeight="false" outlineLevel="0" collapsed="false">
      <c r="A22" s="46" t="s">
        <v>154</v>
      </c>
      <c r="B22" s="47" t="s">
        <v>125</v>
      </c>
      <c r="C22" s="50"/>
      <c r="D22" s="49"/>
    </row>
    <row r="23" customFormat="false" ht="15" hidden="false" customHeight="false" outlineLevel="0" collapsed="false">
      <c r="A23" s="42" t="s">
        <v>155</v>
      </c>
      <c r="B23" s="43" t="s">
        <v>125</v>
      </c>
      <c r="C23" s="51"/>
      <c r="D23" s="45" t="s">
        <v>156</v>
      </c>
    </row>
    <row r="24" customFormat="false" ht="15" hidden="false" customHeight="false" outlineLevel="0" collapsed="false">
      <c r="A24" s="46" t="s">
        <v>157</v>
      </c>
      <c r="B24" s="47" t="s">
        <v>125</v>
      </c>
      <c r="C24" s="50"/>
      <c r="D24" s="49" t="s">
        <v>158</v>
      </c>
    </row>
    <row r="25" customFormat="false" ht="15" hidden="false" customHeight="false" outlineLevel="0" collapsed="false">
      <c r="A25" s="42" t="s">
        <v>159</v>
      </c>
      <c r="B25" s="43" t="s">
        <v>125</v>
      </c>
      <c r="C25" s="51"/>
      <c r="D25" s="45"/>
    </row>
    <row r="26" customFormat="false" ht="15" hidden="false" customHeight="false" outlineLevel="0" collapsed="false">
      <c r="A26" s="46" t="s">
        <v>160</v>
      </c>
      <c r="B26" s="47" t="s">
        <v>161</v>
      </c>
      <c r="C26" s="50"/>
      <c r="D26" s="49"/>
    </row>
    <row r="27" customFormat="false" ht="15" hidden="false" customHeight="false" outlineLevel="0" collapsed="false">
      <c r="A27" s="42" t="s">
        <v>162</v>
      </c>
      <c r="B27" s="43" t="s">
        <v>163</v>
      </c>
      <c r="C27" s="51"/>
      <c r="D27" s="45"/>
    </row>
    <row r="28" customFormat="false" ht="15" hidden="false" customHeight="false" outlineLevel="0" collapsed="false">
      <c r="A28" s="46" t="s">
        <v>164</v>
      </c>
      <c r="B28" s="47" t="s">
        <v>161</v>
      </c>
      <c r="C28" s="50"/>
      <c r="D28" s="49"/>
    </row>
    <row r="29" customFormat="false" ht="15" hidden="false" customHeight="false" outlineLevel="0" collapsed="false">
      <c r="A29" s="42" t="s">
        <v>165</v>
      </c>
      <c r="B29" s="43" t="s">
        <v>125</v>
      </c>
      <c r="C29" s="51"/>
      <c r="D29" s="45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2026-03-20T00:01:37Z</dcterms:created>
  <dc:creator>openpyxl</dc:creator>
  <dc:description/>
  <dc:language>en-US</dc:language>
  <cp:lastModifiedBy/>
  <dcterms:modified xsi:type="dcterms:W3CDTF">2026-03-20T00:01:37Z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